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2788A23A4BA24D5/Documents/"/>
    </mc:Choice>
  </mc:AlternateContent>
  <xr:revisionPtr revIDLastSave="0" documentId="8_{1BB33CF7-E830-42F4-9913-DEB52099189C}" xr6:coauthVersionLast="47" xr6:coauthVersionMax="47" xr10:uidLastSave="{00000000-0000-0000-0000-000000000000}"/>
  <bookViews>
    <workbookView xWindow="11424" yWindow="0" windowWidth="11712" windowHeight="12336" xr2:uid="{105566E5-1B31-4A0D-AB12-F4E9FCD0C55D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1" l="1"/>
  <c r="C33" i="1"/>
  <c r="C3" i="1"/>
  <c r="C2" i="1"/>
  <c r="C35" i="1"/>
  <c r="C34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4" i="1"/>
  <c r="C5" i="1"/>
  <c r="C6" i="3"/>
  <c r="C3" i="3"/>
  <c r="C1" i="3"/>
  <c r="D35" i="1"/>
  <c r="D34" i="1"/>
  <c r="D4" i="1"/>
  <c r="D16" i="1"/>
  <c r="D28" i="1"/>
  <c r="D8" i="1"/>
  <c r="D20" i="1"/>
  <c r="D11" i="1"/>
  <c r="D5" i="1"/>
  <c r="D17" i="1"/>
  <c r="D29" i="1"/>
  <c r="D7" i="1"/>
  <c r="D31" i="1"/>
  <c r="D9" i="1"/>
  <c r="D21" i="1"/>
  <c r="D10" i="1"/>
  <c r="D22" i="1"/>
  <c r="D13" i="1"/>
  <c r="D2" i="1"/>
  <c r="D26" i="1"/>
  <c r="D15" i="1"/>
  <c r="D6" i="1"/>
  <c r="D18" i="1"/>
  <c r="D30" i="1"/>
  <c r="D19" i="1"/>
  <c r="D23" i="1"/>
  <c r="D12" i="1"/>
  <c r="D24" i="1"/>
  <c r="D25" i="1"/>
  <c r="D14" i="1"/>
  <c r="D3" i="1"/>
  <c r="D27" i="1"/>
  <c r="D1" i="3"/>
</calcChain>
</file>

<file path=xl/sharedStrings.xml><?xml version="1.0" encoding="utf-8"?>
<sst xmlns="http://schemas.openxmlformats.org/spreadsheetml/2006/main" count="83" uniqueCount="75">
  <si>
    <t>Text</t>
  </si>
  <si>
    <t>Question</t>
  </si>
  <si>
    <t>Microsoft Excel 2026</t>
  </si>
  <si>
    <t>Use LEFT to return the first 9 characters from the text.</t>
  </si>
  <si>
    <t>Invoice-98765</t>
  </si>
  <si>
    <t>Use RIGHT to return the last 5 characters from the text.</t>
  </si>
  <si>
    <t>Order ID: AB12345</t>
  </si>
  <si>
    <t>Use MID to return only AB123 from the text.</t>
  </si>
  <si>
    <t>Learning Text Functions</t>
  </si>
  <si>
    <t>Use LEN to count the total characters in the text.</t>
  </si>
  <si>
    <t>monthly sales report</t>
  </si>
  <si>
    <t>Use UPPER to convert the text to uppercase.</t>
  </si>
  <si>
    <t>CUSTOMER SERVICE TEAM</t>
  </si>
  <si>
    <t>Use LOWER to convert the text to lowercase.</t>
  </si>
  <si>
    <t>quarterly business review</t>
  </si>
  <si>
    <t>Use PROPER to capitalize each word in the text.</t>
  </si>
  <si>
    <t xml:space="preserve">   North Region   </t>
  </si>
  <si>
    <t>Use TRIM to remove extra spaces from the text.</t>
  </si>
  <si>
    <t>Product</t>
  </si>
  <si>
    <t>Use CONCAT to combine the text with " Launch".</t>
  </si>
  <si>
    <t>Data</t>
  </si>
  <si>
    <t>Use CONCATENATE to combine the text with " Analysis".</t>
  </si>
  <si>
    <t>Find the word Excel here</t>
  </si>
  <si>
    <t>Use FIND to locate the position of "Excel" in the text.</t>
  </si>
  <si>
    <t>Search for excel here</t>
  </si>
  <si>
    <t>Use SEARCH to locate "EXCEL" ignoring case.</t>
  </si>
  <si>
    <t>Phone: 555-123-9876</t>
  </si>
  <si>
    <t>Use REPLACE to replace 555 with 999.</t>
  </si>
  <si>
    <t>red blue red green</t>
  </si>
  <si>
    <t>Use SUBSTITUTE to replace every "red" with "orange".</t>
  </si>
  <si>
    <t>Apple</t>
  </si>
  <si>
    <t>Use EXACT to compare the text with "apple".</t>
  </si>
  <si>
    <t>Use VALUE to convert the text number into a numeric value.</t>
  </si>
  <si>
    <t>Use TEXT with VALUE to format this date serial as dd-mmm-yyyy.</t>
  </si>
  <si>
    <t>Go</t>
  </si>
  <si>
    <t>Use REPT to repeat the text 4 times.</t>
  </si>
  <si>
    <t>Use CHAR with VALUE to return the character for this code.</t>
  </si>
  <si>
    <t>A</t>
  </si>
  <si>
    <t>Use CODE to return the numeric code for the first character.</t>
  </si>
  <si>
    <t>Employee: Siva Kumar</t>
  </si>
  <si>
    <t>Use MID and FIND to return only the name after the colon.</t>
  </si>
  <si>
    <t xml:space="preserve">  annual budget 2026  </t>
  </si>
  <si>
    <t>Use TRIM and PROPER to clean and capitalize the text.</t>
  </si>
  <si>
    <t>abc-XYZ-789</t>
  </si>
  <si>
    <t>Use LEFT and FIND to return text before the first hyphen.</t>
  </si>
  <si>
    <t>Use RIGHT and LEN to return text after the last hyphen.</t>
  </si>
  <si>
    <t>First Name</t>
  </si>
  <si>
    <t>Use CONCAT to add " Last Name" after the text.</t>
  </si>
  <si>
    <t>Report_v1_Final</t>
  </si>
  <si>
    <t>Use SUBSTITUTE to replace underscores with spaces.</t>
  </si>
  <si>
    <t>Total Revenue: $45,000</t>
  </si>
  <si>
    <t>Use SEARCH to find the position of the dollar sign.</t>
  </si>
  <si>
    <t>2026 Budget Draft</t>
  </si>
  <si>
    <t>Use REPLACE to change 2026 to 2027.</t>
  </si>
  <si>
    <t>banana</t>
  </si>
  <si>
    <t>Use SUBSTITUTE to replace only the second "a" with "A".</t>
  </si>
  <si>
    <t>excel practice sheet</t>
  </si>
  <si>
    <t>Use PROPER, LEFT, and LEN to create title case text.</t>
  </si>
  <si>
    <t>A (Value)</t>
  </si>
  <si>
    <t>B (Formula to Apply)</t>
  </si>
  <si>
    <t>ISNUMBER</t>
  </si>
  <si>
    <t>Excel</t>
  </si>
  <si>
    <t>ISTEXT</t>
  </si>
  <si>
    <t>ISBLANK</t>
  </si>
  <si>
    <t>ISERROR</t>
  </si>
  <si>
    <t>ISERR</t>
  </si>
  <si>
    <t>ISEVEN</t>
  </si>
  <si>
    <t>ISODD</t>
  </si>
  <si>
    <t>Reference any cell</t>
  </si>
  <si>
    <t>CELL("address",A1)</t>
  </si>
  <si>
    <t>N(A1)</t>
  </si>
  <si>
    <t>N(A2)</t>
  </si>
  <si>
    <t xml:space="preserve">C 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</si>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</sst>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1" xfId="0" applyBorder="1"/>
    <xf numFmtId="0" fontId="4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0" fillId="5" borderId="8" xfId="0" applyFill="1" applyBorder="1"/>
    <xf numFmtId="0" fontId="0" fillId="0" borderId="8" xfId="0" applyBorder="1"/>
    <xf numFmtId="0" fontId="3" fillId="5" borderId="1" xfId="0" applyFont="1" applyFill="1" applyBorder="1" applyAlignment="1">
      <alignment vertical="top" wrapText="1"/>
    </xf>
    <xf numFmtId="0" fontId="3" fillId="5" borderId="3" xfId="0" applyFont="1" applyFill="1" applyBorder="1" applyAlignment="1">
      <alignment vertical="top" wrapText="1"/>
    </xf>
    <xf numFmtId="0" fontId="0" fillId="0" borderId="9" xfId="0" applyBorder="1"/>
    <xf numFmtId="0" fontId="2" fillId="2" borderId="10" xfId="0" applyFont="1" applyFill="1" applyBorder="1" applyAlignment="1">
      <alignment horizontal="center"/>
    </xf>
    <xf numFmtId="0" fontId="0" fillId="0" borderId="0" xfId="0" applyNumberFormat="1"/>
    <xf numFmtId="0" fontId="0" fillId="0" borderId="0" xfId="0" applyNumberFormat="1" applyBorder="1"/>
  </cellXfs>
  <cellStyles count="1">
    <cellStyle name="Normal" xfId="0" builtinId="0"/>
  </cellStyles>
  <dxfs count="12">
    <dxf>
      <border diagonalUp="0" diagonalDown="0" outline="0">
        <left/>
        <right/>
        <top style="thin">
          <color indexed="64"/>
        </top>
        <bottom/>
      </border>
    </dxf>
    <dxf>
      <numFmt numFmtId="0" formatCode="General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9258B6-476C-4995-9491-1709E5E1961D}" name="Table1" displayName="Table1" ref="A1:D34" totalsRowCount="1" headerRowDxfId="11" headerRowBorderDxfId="10" tableBorderDxfId="9" totalsRowBorderDxfId="8">
  <autoFilter ref="A1:D33" xr:uid="{6C9258B6-476C-4995-9491-1709E5E1961D}"/>
  <tableColumns count="4">
    <tableColumn id="1" xr3:uid="{7CD0AF21-21DB-4377-8D0A-E95FC818381D}" name="Text" dataDxfId="7" totalsRowDxfId="3"/>
    <tableColumn id="2" xr3:uid="{A65B8E53-E1E4-4816-843E-BE9B408251DE}" name="Question" dataDxfId="6" totalsRowDxfId="2"/>
    <tableColumn id="3" xr3:uid="{F00FB44C-A437-4D0A-8F14-65E5C6E98BF9}" name="Column1" totalsRowFunction="custom" dataDxfId="5" totalsRowDxfId="1">
      <calculatedColumnFormula>MID(Table1[[#This Row],[Text]],10,6)</calculatedColumnFormula>
      <totalsRowFormula>LEN(A31)</totalsRowFormula>
    </tableColumn>
    <tableColumn id="4" xr3:uid="{821261FE-C973-475F-9CE6-DD13BB196B6B}" name="Column2" totalsRowFunction="custom" dataDxfId="4" totalsRowDxfId="0">
      <calculatedColumnFormula>_xlfn.FORMULATEXT(Table1[[#This Row],[Column1]])</calculatedColumnFormula>
      <totalsRowFormula>_xlfn.FORMULATEXT(Table1[[#Totals],[Column1]])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905A697-BD69-43D3-AC0B-17A8AEA116E9}">
  <we:reference id="wa200010215" version="1.0.0.0" store="en-US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CA31E-1885-4AEB-B3E9-5F4422737847}">
  <dimension ref="A1:D35"/>
  <sheetViews>
    <sheetView tabSelected="1" topLeftCell="B1" zoomScale="69" workbookViewId="0">
      <selection activeCell="D33" sqref="D33"/>
    </sheetView>
  </sheetViews>
  <sheetFormatPr defaultRowHeight="14.4" x14ac:dyDescent="0.3"/>
  <cols>
    <col min="1" max="1" width="57" customWidth="1"/>
    <col min="2" max="2" width="68.88671875" customWidth="1"/>
    <col min="3" max="3" width="37" customWidth="1"/>
    <col min="4" max="4" width="49.5546875" customWidth="1"/>
  </cols>
  <sheetData>
    <row r="1" spans="1:4" x14ac:dyDescent="0.3">
      <c r="A1" s="11" t="s">
        <v>0</v>
      </c>
      <c r="B1" s="12" t="s">
        <v>1</v>
      </c>
      <c r="C1" s="20" t="s">
        <v>73</v>
      </c>
      <c r="D1" s="20" t="s">
        <v>74</v>
      </c>
    </row>
    <row r="2" spans="1:4" x14ac:dyDescent="0.3">
      <c r="A2" s="9" t="s">
        <v>2</v>
      </c>
      <c r="B2" s="10" t="s">
        <v>3</v>
      </c>
      <c r="C2" t="str">
        <f>LEFT(Table1[[#This Row],[Text]])</f>
        <v>M</v>
      </c>
      <c r="D2" t="str">
        <f ca="1">_xlfn.FORMULATEXT(Table1[[#This Row],[Column1]])</f>
        <v>=LEFT([@Text])</v>
      </c>
    </row>
    <row r="3" spans="1:4" x14ac:dyDescent="0.3">
      <c r="A3" s="9" t="s">
        <v>4</v>
      </c>
      <c r="B3" s="10" t="s">
        <v>5</v>
      </c>
      <c r="C3" t="str">
        <f>RIGHT(Table1[[#This Row],[Text]],5)</f>
        <v>98765</v>
      </c>
      <c r="D3" t="str">
        <f ca="1">_xlfn.FORMULATEXT(Table1[[#This Row],[Column1]])</f>
        <v>=RIGHT([@Text],5)</v>
      </c>
    </row>
    <row r="4" spans="1:4" x14ac:dyDescent="0.3">
      <c r="A4" s="9" t="s">
        <v>6</v>
      </c>
      <c r="B4" s="10" t="s">
        <v>7</v>
      </c>
      <c r="C4" t="str">
        <f>MID(Table1[[#This Row],[Text]],10,6)</f>
        <v xml:space="preserve"> AB123</v>
      </c>
      <c r="D4" t="str">
        <f ca="1">_xlfn.FORMULATEXT(Table1[[#This Row],[Column1]])</f>
        <v>=MID([@Text],10,6)</v>
      </c>
    </row>
    <row r="5" spans="1:4" x14ac:dyDescent="0.3">
      <c r="A5" s="9" t="s">
        <v>8</v>
      </c>
      <c r="B5" s="10" t="s">
        <v>9</v>
      </c>
      <c r="C5">
        <f>LEN(Table1[[#This Row],[Text]])</f>
        <v>23</v>
      </c>
      <c r="D5" t="str">
        <f ca="1">_xlfn.FORMULATEXT(Table1[[#This Row],[Column1]])</f>
        <v>=LEN([@Text])</v>
      </c>
    </row>
    <row r="6" spans="1:4" x14ac:dyDescent="0.3">
      <c r="A6" s="9" t="s">
        <v>10</v>
      </c>
      <c r="B6" s="10" t="s">
        <v>11</v>
      </c>
      <c r="C6" t="str">
        <f>UPPER(Table1[[#This Row],[Text]])</f>
        <v>MONTHLY SALES REPORT</v>
      </c>
      <c r="D6" t="str">
        <f ca="1">_xlfn.FORMULATEXT(Table1[[#This Row],[Column1]])</f>
        <v>=UPPER([@Text])</v>
      </c>
    </row>
    <row r="7" spans="1:4" x14ac:dyDescent="0.3">
      <c r="A7" s="9" t="s">
        <v>12</v>
      </c>
      <c r="B7" s="10" t="s">
        <v>13</v>
      </c>
      <c r="C7" t="str">
        <f>LOWER(Table1[[#This Row],[Text]])</f>
        <v>customer service team</v>
      </c>
      <c r="D7" t="str">
        <f ca="1">_xlfn.FORMULATEXT(Table1[[#This Row],[Column1]])</f>
        <v>=LOWER([@Text])</v>
      </c>
    </row>
    <row r="8" spans="1:4" x14ac:dyDescent="0.3">
      <c r="A8" s="9" t="s">
        <v>14</v>
      </c>
      <c r="B8" s="10" t="s">
        <v>15</v>
      </c>
      <c r="C8" t="str">
        <f>PROPER(Table1[[#This Row],[Text]])</f>
        <v>Quarterly Business Review</v>
      </c>
      <c r="D8" t="str">
        <f ca="1">_xlfn.FORMULATEXT(Table1[[#This Row],[Column1]])</f>
        <v>=PROPER([@Text])</v>
      </c>
    </row>
    <row r="9" spans="1:4" x14ac:dyDescent="0.3">
      <c r="A9" s="9" t="s">
        <v>16</v>
      </c>
      <c r="B9" s="10" t="s">
        <v>17</v>
      </c>
      <c r="C9" t="str">
        <f>TRIM(Table1[[#This Row],[Text]])</f>
        <v>North Region</v>
      </c>
      <c r="D9" t="str">
        <f ca="1">_xlfn.FORMULATEXT(Table1[[#This Row],[Column1]])</f>
        <v>=TRIM([@Text])</v>
      </c>
    </row>
    <row r="10" spans="1:4" x14ac:dyDescent="0.3">
      <c r="A10" s="9" t="s">
        <v>18</v>
      </c>
      <c r="B10" s="10" t="s">
        <v>19</v>
      </c>
      <c r="C10" t="str">
        <f>_xlfn.CONCAT(Table1[[#This Row],[Text]],"launch")</f>
        <v>Productlaunch</v>
      </c>
      <c r="D10" t="str">
        <f ca="1">_xlfn.FORMULATEXT(Table1[[#This Row],[Column1]])</f>
        <v>=CONCAT([@Text],"launch")</v>
      </c>
    </row>
    <row r="11" spans="1:4" x14ac:dyDescent="0.3">
      <c r="A11" s="9" t="s">
        <v>20</v>
      </c>
      <c r="B11" s="10" t="s">
        <v>21</v>
      </c>
      <c r="C11" t="str">
        <f>CONCATENATE(Table1[[#This Row],[Text]],"analysis")</f>
        <v>Dataanalysis</v>
      </c>
      <c r="D11" t="str">
        <f ca="1">_xlfn.FORMULATEXT(Table1[[#This Row],[Column1]])</f>
        <v>=CONCATENATE([@Text],"analysis")</v>
      </c>
    </row>
    <row r="12" spans="1:4" x14ac:dyDescent="0.3">
      <c r="A12" s="9" t="s">
        <v>22</v>
      </c>
      <c r="B12" s="10" t="s">
        <v>23</v>
      </c>
      <c r="C12">
        <f>FIND("Excel",Table1[[#This Row],[Text]])</f>
        <v>15</v>
      </c>
      <c r="D12" t="str">
        <f ca="1">_xlfn.FORMULATEXT(Table1[[#This Row],[Column1]])</f>
        <v>=FIND("Excel",[@Text])</v>
      </c>
    </row>
    <row r="13" spans="1:4" x14ac:dyDescent="0.3">
      <c r="A13" s="9" t="s">
        <v>24</v>
      </c>
      <c r="B13" s="10" t="s">
        <v>25</v>
      </c>
      <c r="C13">
        <f>SEARCH("Excel",Table1[[#This Row],[Text]])</f>
        <v>12</v>
      </c>
      <c r="D13" t="str">
        <f ca="1">_xlfn.FORMULATEXT(Table1[[#This Row],[Column1]])</f>
        <v>=SEARCH("Excel",[@Text])</v>
      </c>
    </row>
    <row r="14" spans="1:4" x14ac:dyDescent="0.3">
      <c r="A14" s="9" t="s">
        <v>26</v>
      </c>
      <c r="B14" s="10" t="s">
        <v>27</v>
      </c>
      <c r="C14" t="str">
        <f>REPLACE(Table1[[#This Row],[Text]],8,3,"999")</f>
        <v>Phone: 999-123-9876</v>
      </c>
      <c r="D14" t="str">
        <f ca="1">_xlfn.FORMULATEXT(Table1[[#This Row],[Column1]])</f>
        <v>=REPLACE([@Text],8,3,"999")</v>
      </c>
    </row>
    <row r="15" spans="1:4" x14ac:dyDescent="0.3">
      <c r="A15" s="9" t="s">
        <v>28</v>
      </c>
      <c r="B15" s="10" t="s">
        <v>29</v>
      </c>
      <c r="C15" t="str">
        <f>SUBSTITUTE(Table1[[#This Row],[Text]],"red","orange")</f>
        <v>orange blue orange green</v>
      </c>
      <c r="D15" t="str">
        <f ca="1">_xlfn.FORMULATEXT(Table1[[#This Row],[Column1]])</f>
        <v>=SUBSTITUTE([@Text],"red","orange")</v>
      </c>
    </row>
    <row r="16" spans="1:4" x14ac:dyDescent="0.3">
      <c r="A16" s="9" t="s">
        <v>30</v>
      </c>
      <c r="B16" s="10" t="s">
        <v>31</v>
      </c>
      <c r="C16" t="b">
        <f>EXACT(Table1[[#This Row],[Text]],"apple")</f>
        <v>0</v>
      </c>
      <c r="D16" t="str">
        <f ca="1">_xlfn.FORMULATEXT(Table1[[#This Row],[Column1]])</f>
        <v>=EXACT([@Text],"apple")</v>
      </c>
    </row>
    <row r="17" spans="1:4" x14ac:dyDescent="0.3">
      <c r="A17" s="9">
        <v>1250</v>
      </c>
      <c r="B17" s="10" t="s">
        <v>32</v>
      </c>
      <c r="C17">
        <f>VALUE(Table1[[#This Row],[Text]])</f>
        <v>1250</v>
      </c>
      <c r="D17" t="str">
        <f ca="1">_xlfn.FORMULATEXT(Table1[[#This Row],[Column1]])</f>
        <v>=VALUE([@Text])</v>
      </c>
    </row>
    <row r="18" spans="1:4" x14ac:dyDescent="0.3">
      <c r="A18" s="9">
        <v>45812</v>
      </c>
      <c r="B18" s="10" t="s">
        <v>33</v>
      </c>
      <c r="C18" t="str">
        <f>TEXT(Table1[[#This Row],[Text]],"dd-mm-yyyy")</f>
        <v>04-06-2025</v>
      </c>
      <c r="D18" t="str">
        <f ca="1">_xlfn.FORMULATEXT(Table1[[#This Row],[Column1]])</f>
        <v>=TEXT([@Text],"dd-mm-yyyy")</v>
      </c>
    </row>
    <row r="19" spans="1:4" x14ac:dyDescent="0.3">
      <c r="A19" s="9" t="s">
        <v>34</v>
      </c>
      <c r="B19" s="10" t="s">
        <v>35</v>
      </c>
      <c r="C19" t="str">
        <f>REPT(Table1[[#This Row],[Text]],4)</f>
        <v>GoGoGoGo</v>
      </c>
      <c r="D19" t="str">
        <f ca="1">_xlfn.FORMULATEXT(Table1[[#This Row],[Column1]])</f>
        <v>=REPT([@Text],4)</v>
      </c>
    </row>
    <row r="20" spans="1:4" x14ac:dyDescent="0.3">
      <c r="A20" s="9">
        <v>65</v>
      </c>
      <c r="B20" s="10" t="s">
        <v>36</v>
      </c>
      <c r="C20" t="str">
        <f>CHAR(Table1[[#This Row],[Text]])</f>
        <v>A</v>
      </c>
      <c r="D20" t="str">
        <f ca="1">_xlfn.FORMULATEXT(Table1[[#This Row],[Column1]])</f>
        <v>=CHAR([@Text])</v>
      </c>
    </row>
    <row r="21" spans="1:4" x14ac:dyDescent="0.3">
      <c r="A21" s="9" t="s">
        <v>37</v>
      </c>
      <c r="B21" s="10" t="s">
        <v>38</v>
      </c>
      <c r="C21">
        <f>CODE(Table1[[#This Row],[Text]])</f>
        <v>65</v>
      </c>
      <c r="D21" t="str">
        <f ca="1">_xlfn.FORMULATEXT(Table1[[#This Row],[Column1]])</f>
        <v>=CODE([@Text])</v>
      </c>
    </row>
    <row r="22" spans="1:4" x14ac:dyDescent="0.3">
      <c r="A22" s="9" t="s">
        <v>39</v>
      </c>
      <c r="B22" s="10" t="s">
        <v>40</v>
      </c>
      <c r="C22" t="str">
        <f>MID(Table1[[#This Row],[Text]],FIND(":",Table1[[#This Row],[Text]])+2,LEN(Table1[[#This Row],[Text]]))</f>
        <v>Siva Kumar</v>
      </c>
      <c r="D22" t="str">
        <f ca="1">_xlfn.FORMULATEXT(Table1[[#This Row],[Column1]])</f>
        <v>=MID([@Text],FIND(":",[@Text])+2,LEN([@Text]))</v>
      </c>
    </row>
    <row r="23" spans="1:4" x14ac:dyDescent="0.3">
      <c r="A23" s="9" t="s">
        <v>41</v>
      </c>
      <c r="B23" s="10" t="s">
        <v>42</v>
      </c>
      <c r="C23" t="str">
        <f>TRIM(PROPER(Table1[[#This Row],[Text]]))</f>
        <v>Annual Budget 2026</v>
      </c>
      <c r="D23" t="str">
        <f ca="1">_xlfn.FORMULATEXT(Table1[[#This Row],[Column1]])</f>
        <v>=TRIM(PROPER([@Text]))</v>
      </c>
    </row>
    <row r="24" spans="1:4" x14ac:dyDescent="0.3">
      <c r="A24" s="9" t="s">
        <v>43</v>
      </c>
      <c r="B24" s="10" t="s">
        <v>44</v>
      </c>
      <c r="C24" t="str">
        <f>LEFT(Table1[[#This Row],[Text]],FIND("-",Table1[[#This Row],[Text]],1)-1)</f>
        <v>abc</v>
      </c>
      <c r="D24" t="str">
        <f ca="1">_xlfn.FORMULATEXT(Table1[[#This Row],[Column1]])</f>
        <v>=LEFT([@Text],FIND("-",[@Text],1)-1)</v>
      </c>
    </row>
    <row r="25" spans="1:4" x14ac:dyDescent="0.3">
      <c r="A25" s="9" t="s">
        <v>43</v>
      </c>
      <c r="B25" s="10" t="s">
        <v>45</v>
      </c>
      <c r="C25" t="str">
        <f>RIGHT(Table1[[#This Row],[Text]],LEN(Table1[[#This Row],[Text]])-8)</f>
        <v>789</v>
      </c>
      <c r="D25" t="str">
        <f ca="1">_xlfn.FORMULATEXT(Table1[[#This Row],[Column1]])</f>
        <v>=RIGHT([@Text],LEN([@Text])-8)</v>
      </c>
    </row>
    <row r="26" spans="1:4" x14ac:dyDescent="0.3">
      <c r="A26" s="9" t="s">
        <v>46</v>
      </c>
      <c r="B26" s="10" t="s">
        <v>47</v>
      </c>
      <c r="C26" t="str">
        <f>_xlfn.CONCAT(Table1[[#This Row],[Text]],"last name")</f>
        <v>First Namelast name</v>
      </c>
      <c r="D26" t="str">
        <f ca="1">_xlfn.FORMULATEXT(Table1[[#This Row],[Column1]])</f>
        <v>=CONCAT([@Text],"last name")</v>
      </c>
    </row>
    <row r="27" spans="1:4" x14ac:dyDescent="0.3">
      <c r="A27" s="9" t="s">
        <v>48</v>
      </c>
      <c r="B27" s="10" t="s">
        <v>49</v>
      </c>
      <c r="C27" t="str">
        <f>SUBSTITUTE(Table1[[#This Row],[Text]],"-"," ")</f>
        <v>Report_v1_Final</v>
      </c>
      <c r="D27" t="str">
        <f ca="1">_xlfn.FORMULATEXT(Table1[[#This Row],[Column1]])</f>
        <v>=SUBSTITUTE([@Text],"-"," ")</v>
      </c>
    </row>
    <row r="28" spans="1:4" x14ac:dyDescent="0.3">
      <c r="A28" s="9" t="s">
        <v>50</v>
      </c>
      <c r="B28" s="10" t="s">
        <v>51</v>
      </c>
      <c r="C28">
        <f>SEARCH("$",Table1[[#This Row],[Text]],15)</f>
        <v>16</v>
      </c>
      <c r="D28" t="str">
        <f ca="1">_xlfn.FORMULATEXT(Table1[[#This Row],[Column1]])</f>
        <v>=SEARCH("$",[@Text],15)</v>
      </c>
    </row>
    <row r="29" spans="1:4" x14ac:dyDescent="0.3">
      <c r="A29" s="9" t="s">
        <v>52</v>
      </c>
      <c r="B29" s="10" t="s">
        <v>53</v>
      </c>
      <c r="C29" t="str">
        <f>REPLACE(Table1[[#This Row],[Text]],1,4,"2027")</f>
        <v>2027 Budget Draft</v>
      </c>
      <c r="D29" t="str">
        <f ca="1">_xlfn.FORMULATEXT(Table1[[#This Row],[Column1]])</f>
        <v>=REPLACE([@Text],1,4,"2027")</v>
      </c>
    </row>
    <row r="30" spans="1:4" x14ac:dyDescent="0.3">
      <c r="A30" s="9" t="s">
        <v>54</v>
      </c>
      <c r="B30" s="10" t="s">
        <v>55</v>
      </c>
      <c r="C30" t="str">
        <f>SUBSTITUTE(Table1[[#This Row],[Text]],"a","A")</f>
        <v>bAnAnA</v>
      </c>
      <c r="D30" t="str">
        <f ca="1">_xlfn.FORMULATEXT(Table1[[#This Row],[Column1]])</f>
        <v>=SUBSTITUTE([@Text],"a","A")</v>
      </c>
    </row>
    <row r="31" spans="1:4" x14ac:dyDescent="0.3">
      <c r="A31" s="13" t="s">
        <v>56</v>
      </c>
      <c r="B31" s="14" t="s">
        <v>57</v>
      </c>
      <c r="C31" t="str">
        <f>PROPER(Table1[[#This Row],[Text]])</f>
        <v>Excel Practice Sheet</v>
      </c>
      <c r="D31" t="str">
        <f ca="1">_xlfn.FORMULATEXT(Table1[[#This Row],[Column1]])</f>
        <v>=PROPER([@Text])</v>
      </c>
    </row>
    <row r="32" spans="1:4" x14ac:dyDescent="0.3">
      <c r="A32" s="9"/>
      <c r="B32" s="10"/>
      <c r="C32" s="21" t="str">
        <f>MID(Table1[[#This Row],[Text]],10,6)</f>
        <v/>
      </c>
    </row>
    <row r="33" spans="1:4" x14ac:dyDescent="0.3">
      <c r="A33" s="9"/>
      <c r="B33" s="10"/>
      <c r="C33" s="22" t="str">
        <f>MID(Table1[[#This Row],[Text]],10,6)</f>
        <v/>
      </c>
    </row>
    <row r="34" spans="1:4" x14ac:dyDescent="0.3">
      <c r="A34" s="13"/>
      <c r="B34" s="14"/>
      <c r="C34" s="22">
        <f>LEN(A31)</f>
        <v>20</v>
      </c>
      <c r="D34" s="19" t="str">
        <f ca="1">_xlfn.FORMULATEXT(Table1[[#Totals],[Column1]])</f>
        <v>=LEN(A31)</v>
      </c>
    </row>
    <row r="35" spans="1:4" x14ac:dyDescent="0.3">
      <c r="C35" t="str">
        <f>LEFT(A31,1)</f>
        <v>e</v>
      </c>
      <c r="D35" s="19" t="str">
        <f ca="1">_xlfn.FORMULATEXT(C35)</f>
        <v>=LEFT(A31,1)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2D4B6-D985-403E-8D2C-A190B975B970}">
  <dimension ref="A1:D6"/>
  <sheetViews>
    <sheetView workbookViewId="0">
      <selection activeCell="C7" sqref="C7"/>
    </sheetView>
  </sheetViews>
  <sheetFormatPr defaultRowHeight="14.4" x14ac:dyDescent="0.3"/>
  <cols>
    <col min="1" max="1" width="41.88671875" customWidth="1"/>
    <col min="2" max="2" width="39.6640625" customWidth="1"/>
    <col min="3" max="3" width="35.44140625" customWidth="1"/>
    <col min="4" max="4" width="38.6640625" customWidth="1"/>
  </cols>
  <sheetData>
    <row r="1" spans="1:4" ht="28.8" x14ac:dyDescent="0.3">
      <c r="A1" s="17" t="s">
        <v>39</v>
      </c>
      <c r="B1" s="18" t="s">
        <v>40</v>
      </c>
      <c r="C1" t="str">
        <f>MID(A1,FIND(":",A1)+2,LEN(A1))</f>
        <v>Siva Kumar</v>
      </c>
      <c r="D1" t="str">
        <f ca="1">_xlfn.FORMULATEXT(C1)</f>
        <v>=MID(A1,FIND(":",A1)+2,LEN(A1))</v>
      </c>
    </row>
    <row r="3" spans="1:4" ht="28.8" x14ac:dyDescent="0.3">
      <c r="A3" s="17" t="s">
        <v>43</v>
      </c>
      <c r="B3" s="18" t="s">
        <v>44</v>
      </c>
      <c r="C3" s="15" t="str">
        <f>LEFT(A3,FIND("-",A3)-1)</f>
        <v>abc</v>
      </c>
    </row>
    <row r="6" spans="1:4" ht="28.8" x14ac:dyDescent="0.3">
      <c r="A6" s="8" t="s">
        <v>43</v>
      </c>
      <c r="B6" s="10" t="s">
        <v>45</v>
      </c>
      <c r="C6" s="16" t="str">
        <f>RIGHT(A6,FIND("-",A6)-1)</f>
        <v>789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CFF6C-3F74-4775-BFBB-EB5D9C662C07}">
  <dimension ref="A1:C11"/>
  <sheetViews>
    <sheetView workbookViewId="0">
      <selection activeCell="F8" sqref="F8"/>
    </sheetView>
  </sheetViews>
  <sheetFormatPr defaultRowHeight="14.4" x14ac:dyDescent="0.3"/>
  <cols>
    <col min="1" max="1" width="27.88671875" customWidth="1"/>
    <col min="2" max="2" width="31.5546875" customWidth="1"/>
    <col min="3" max="3" width="22" customWidth="1"/>
  </cols>
  <sheetData>
    <row r="1" spans="1:3" x14ac:dyDescent="0.3">
      <c r="A1" s="1" t="s">
        <v>58</v>
      </c>
      <c r="B1" s="2" t="s">
        <v>59</v>
      </c>
      <c r="C1" s="3" t="s">
        <v>72</v>
      </c>
    </row>
    <row r="2" spans="1:3" x14ac:dyDescent="0.3">
      <c r="A2" s="4">
        <v>250</v>
      </c>
      <c r="B2" s="5" t="s">
        <v>60</v>
      </c>
      <c r="C2" s="6"/>
    </row>
    <row r="3" spans="1:3" x14ac:dyDescent="0.3">
      <c r="A3" s="4" t="s">
        <v>61</v>
      </c>
      <c r="B3" s="5" t="s">
        <v>62</v>
      </c>
      <c r="C3" s="6"/>
    </row>
    <row r="4" spans="1:3" x14ac:dyDescent="0.3">
      <c r="A4" s="7"/>
      <c r="B4" s="5" t="s">
        <v>63</v>
      </c>
      <c r="C4" s="6"/>
    </row>
    <row r="5" spans="1:3" x14ac:dyDescent="0.3">
      <c r="A5" s="4" t="e">
        <v>#DIV/0!</v>
      </c>
      <c r="B5" s="5" t="s">
        <v>64</v>
      </c>
      <c r="C5" s="6"/>
    </row>
    <row r="6" spans="1:3" x14ac:dyDescent="0.3">
      <c r="A6" s="4" t="e">
        <v>#N/A</v>
      </c>
      <c r="B6" s="5" t="s">
        <v>65</v>
      </c>
      <c r="C6" s="6"/>
    </row>
    <row r="7" spans="1:3" x14ac:dyDescent="0.3">
      <c r="A7" s="4">
        <v>18</v>
      </c>
      <c r="B7" s="5" t="s">
        <v>66</v>
      </c>
      <c r="C7" s="6"/>
    </row>
    <row r="8" spans="1:3" x14ac:dyDescent="0.3">
      <c r="A8" s="4">
        <v>25</v>
      </c>
      <c r="B8" s="5" t="s">
        <v>67</v>
      </c>
      <c r="C8" s="6"/>
    </row>
    <row r="9" spans="1:3" x14ac:dyDescent="0.3">
      <c r="A9" s="4" t="s">
        <v>68</v>
      </c>
      <c r="B9" s="5" t="s">
        <v>69</v>
      </c>
      <c r="C9" s="6"/>
    </row>
    <row r="10" spans="1:3" x14ac:dyDescent="0.3">
      <c r="A10" s="4">
        <v>150</v>
      </c>
      <c r="B10" s="5" t="s">
        <v>70</v>
      </c>
      <c r="C10" s="6"/>
    </row>
    <row r="11" spans="1:3" x14ac:dyDescent="0.3">
      <c r="A11" s="4" t="s">
        <v>0</v>
      </c>
      <c r="B11" s="5" t="s">
        <v>71</v>
      </c>
      <c r="C1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Narayana Nakka</dc:creator>
  <cp:lastModifiedBy>Vasu Rammisetty</cp:lastModifiedBy>
  <dcterms:created xsi:type="dcterms:W3CDTF">2026-05-20T17:20:03Z</dcterms:created>
  <dcterms:modified xsi:type="dcterms:W3CDTF">2026-05-21T16:32:54Z</dcterms:modified>
</cp:coreProperties>
</file>